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/>
  </bookViews>
  <sheets>
    <sheet name="Summary" sheetId="1" r:id="rId1"/>
    <sheet name="Comparison" sheetId="2" r:id="rId2"/>
    <sheet name="Summit Valve Supply Q-1042" sheetId="3" r:id="rId3"/>
    <sheet name="Ridgeline Controls EST-5531" sheetId="4" r:id="rId4"/>
    <sheet name="Acme Valve Q-7781" sheetId="5" r:id="rId5"/>
  </sheets>
  <definedNames>
    <definedName name="_xlnm._FilterDatabase" localSheetId="2" hidden="1">'Summit Valve Supply Q-1042'!$A$4:$F$8</definedName>
    <definedName name="_xlnm._FilterDatabase" localSheetId="3" hidden="1">'Ridgeline Controls EST-5531'!$A$4:$F$8</definedName>
    <definedName name="_xlnm._FilterDatabase" localSheetId="4" hidden="1">'Acme Valve Q-7781'!$A$4:$F$7</definedName>
  </definedNames>
  <calcPr calcId="191029" fullCalcOnLoad="1"/>
</workbook>
</file>

<file path=xl/styles.xml><?xml version="1.0" encoding="utf-8"?>
<styleSheet xmlns="http://schemas.openxmlformats.org/spreadsheetml/2006/main">
  <numFmts count="3">
    <numFmt numFmtId="164" formatCode="#,##0.00"/>
    <numFmt numFmtId="165" formatCode="#,##0.##"/>
    <numFmt numFmtId="166" formatCode="0.0%"/>
  </numFmts>
  <fonts count="5">
    <font>
      <sz val="10"/>
      <name val="Arial"/>
    </font>
    <font>
      <b/>
      <sz val="14"/>
      <color rgb="FF1F497D"/>
      <name val="Arial"/>
    </font>
    <font>
      <i/>
      <sz val="9"/>
      <color rgb="FF666666"/>
      <name val="Arial"/>
    </font>
    <font>
      <b/>
      <sz val="10"/>
      <color rgb="FFFFFFFF"/>
      <name val="Arial"/>
    </font>
    <font>
      <b/>
      <sz val="10"/>
      <name val="Arial"/>
    </font>
  </fonts>
  <fills count="4">
    <fill>
      <patternFill patternType="none"/>
    </fill>
    <fill>
      <patternFill patternType="gray125"/>
    </fill>
    <fill>
      <patternFill patternType="solid">
        <fgColor rgb="FF1F497D"/>
      </patternFill>
    </fill>
    <fill>
      <patternFill patternType="solid">
        <fgColor rgb="FFDCE6F1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/>
    <xf numFmtId="0" fontId="2" fillId="0" borderId="0" xfId="0" applyFont="1"/>
    <xf numFmtId="0" fontId="3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 wrapText="1"/>
    </xf>
    <xf numFmtId="165" fontId="0" fillId="0" borderId="1" xfId="0" applyNumberFormat="1" applyBorder="1" applyAlignment="1">
      <alignment horizontal="center" vertical="top"/>
    </xf>
    <xf numFmtId="164" fontId="0" fillId="0" borderId="1" xfId="0" applyNumberFormat="1" applyBorder="1" applyAlignment="1">
      <alignment vertical="top"/>
    </xf>
    <xf numFmtId="0" fontId="4" fillId="3" borderId="1" xfId="0" applyFont="1" applyFill="1" applyBorder="1"/>
    <xf numFmtId="164" fontId="4" fillId="3" borderId="1" xfId="0" applyNumberFormat="1" applyFont="1" applyFill="1" applyBorder="1"/>
    <xf numFmtId="0" fontId="4" fillId="0" borderId="1" xfId="0" applyFont="1" applyBorder="1" applyAlignment="1">
      <alignment horizontal="center" vertical="top"/>
    </xf>
    <xf numFmtId="166" fontId="0" fillId="0" borderId="1" xfId="0" applyNumberFormat="1" applyBorder="1" applyAlignment="1">
      <alignment horizontal="center" vertical="top"/>
    </xf>
  </cellXfs>
  <cellStyles count="1">
    <cellStyle name="Normal" xfId="0" builtinId="0"/>
  </cellStyles>
  <dxfs count="2">
    <dxf>
      <font>
        <b/>
        <color rgb="FFC00000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</dxf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>
  <sheetPr>
    <pageSetUpPr fitToPage="1"/>
  </sheetPr>
  <sheetViews>
    <sheetView workbookViewId="0">
      <pane ySplit="4" topLeftCell="A5" activePane="bottomLeft" state="frozen"/>
    </sheetView>
  </sheetViews>
  <sheetFormatPr defaultRowHeight="15"/>
  <cols>
    <col min="1" max="1" width="26" customWidth="1"/>
    <col min="2" max="2" width="16" customWidth="1"/>
    <col min="3" max="3" width="14" customWidth="1"/>
    <col min="4" max="4" width="8" customWidth="1"/>
    <col min="5" max="5" width="18" customWidth="1"/>
    <col min="6" max="6" width="20" customWidth="1"/>
    <col min="7" max="7" width="14" customWidth="1"/>
  </cols>
  <sheetData>
    <row r="1" ht="22" customHeight="1">
      <c r="A1" s="1" t="inlineStr">
        <is>
          <t xml:space="preserve">Example Pad 3 – Control Valve Package</t>
        </is>
      </c>
    </row>
    <row r="2">
      <c r="A2" s="2" t="inlineStr">
        <is>
          <t xml:space="preserve">3 quote(s) · built 2026-10-20 · Lines Total = sum of each quote tab; Check compares it to the subtotal printed on the quote</t>
        </is>
      </c>
    </row>
    <row r="4" ht="20" customHeight="1">
      <c r="A4" s="3" t="inlineStr">
        <is>
          <t xml:space="preserve">Vendor</t>
        </is>
      </c>
      <c r="B4" s="3" t="inlineStr">
        <is>
          <t xml:space="preserve">Quote #</t>
        </is>
      </c>
      <c r="C4" s="3" t="inlineStr">
        <is>
          <t xml:space="preserve">Quote Date</t>
        </is>
      </c>
      <c r="D4" s="3" t="inlineStr">
        <is>
          <t xml:space="preserve">Lines</t>
        </is>
      </c>
      <c r="E4" s="3" t="inlineStr">
        <is>
          <t xml:space="preserve">Lines Total (USD)</t>
        </is>
      </c>
      <c r="F4" s="3" t="inlineStr">
        <is>
          <t xml:space="preserve">Quote Subtotal (USD)</t>
        </is>
      </c>
      <c r="G4" s="3" t="inlineStr">
        <is>
          <t xml:space="preserve">Check</t>
        </is>
      </c>
    </row>
    <row r="5">
      <c r="A5" s="4" t="inlineStr">
        <is>
          <t xml:space="preserve">Summit Valve Supply</t>
        </is>
      </c>
      <c r="B5" s="4" t="inlineStr">
        <is>
          <t xml:space="preserve">Q-1042</t>
        </is>
      </c>
      <c r="C5" s="4" t="inlineStr">
        <is>
          <t xml:space="preserve">10/14/2026</t>
        </is>
      </c>
      <c r="D5" s="6">
        <v>4</v>
      </c>
      <c r="E5" s="7">
        <f>'Summit Valve Supply Q-1042'!E9</f>
        <v>21342.5</v>
      </c>
      <c r="F5" s="7">
        <v>21342.5</v>
      </c>
      <c r="G5" s="10" t="str">
        <f>IF(F5="","No subtotal",IF(ABS(E5-F5)&lt;0.02,"OK","CHECK"))</f>
        <v>OK</v>
      </c>
    </row>
    <row r="6">
      <c r="A6" s="4" t="inlineStr">
        <is>
          <t xml:space="preserve">Ridgeline Controls</t>
        </is>
      </c>
      <c r="B6" s="4" t="inlineStr">
        <is>
          <t xml:space="preserve">EST-5531</t>
        </is>
      </c>
      <c r="C6" s="4" t="inlineStr">
        <is>
          <t xml:space="preserve">10/15/2026</t>
        </is>
      </c>
      <c r="D6" s="6">
        <v>4</v>
      </c>
      <c r="E6" s="7">
        <f>'Ridgeline Controls EST-5531'!E9</f>
        <v>20890</v>
      </c>
      <c r="F6" s="7">
        <v>20890</v>
      </c>
      <c r="G6" s="10" t="str">
        <f>IF(F6="","No subtotal",IF(ABS(E6-F6)&lt;0.02,"OK","CHECK"))</f>
        <v>OK</v>
      </c>
    </row>
    <row r="7">
      <c r="A7" s="4" t="inlineStr">
        <is>
          <t xml:space="preserve">Acme Valve</t>
        </is>
      </c>
      <c r="B7" s="4" t="inlineStr">
        <is>
          <t xml:space="preserve">Q-7781</t>
        </is>
      </c>
      <c r="C7" s="4" t="inlineStr">
        <is>
          <t xml:space="preserve">10/15/2026</t>
        </is>
      </c>
      <c r="D7" s="6">
        <v>3</v>
      </c>
      <c r="E7" s="7">
        <f>'Acme Valve Q-7781'!E8</f>
        <v>13875</v>
      </c>
      <c r="F7" s="7">
        <v>10150</v>
      </c>
      <c r="G7" s="10" t="str">
        <f>IF(F7="","No subtotal",IF(ABS(E7-F7)&lt;0.02,"OK","CHECK"))</f>
        <v>CHECK</v>
      </c>
    </row>
    <row r="8" ht="18" customHeight="1">
      <c r="A8" s="8" t="inlineStr">
        <is>
          <t xml:space="preserve">All quotes</t>
        </is>
      </c>
      <c r="B8" s="8"/>
      <c r="C8" s="8"/>
      <c r="D8" s="8">
        <f>SUM(D5:D7)</f>
        <v>11</v>
      </c>
      <c r="E8" s="9">
        <f>SUM(E5:E7)</f>
        <v>56107.5</v>
      </c>
      <c r="F8" s="8"/>
      <c r="G8" s="8"/>
    </row>
  </sheetData>
  <mergeCells count="2">
    <mergeCell ref="A1:G1"/>
    <mergeCell ref="A2:G2"/>
  </mergeCells>
  <conditionalFormatting sqref="G5:G7">
    <cfRule type="cellIs" dxfId="0" priority="1" operator="equal">
      <formula>"CHECK"</formula>
    </cfRule>
    <cfRule type="cellIs" dxfId="1" priority="2" operator="equal">
      <formula>"OK"</formula>
    </cfRule>
  </conditionalFormatting>
  <pageMargins left="0.5" right="0.5" top="0.75" bottom="0.75" header="0.3" footer="0.3"/>
  <pageSetup orientation="landscape" fitToWidth="1" fitToHeight="0"/>
</worksheet>
</file>

<file path=xl/worksheets/sheet2.xml><?xml version="1.0" encoding="utf-8"?>
<worksheet xmlns="http://schemas.openxmlformats.org/spreadsheetml/2006/main" xmlns:r="http://schemas.openxmlformats.org/officeDocument/2006/relationships">
  <sheetPr>
    <pageSetUpPr fitToPage="1"/>
  </sheetPr>
  <sheetViews>
    <sheetView workbookViewId="0">
      <pane ySplit="4" topLeftCell="A5" activePane="bottomLeft" state="frozen"/>
    </sheetView>
  </sheetViews>
  <sheetFormatPr defaultRowHeight="15"/>
  <cols>
    <col min="1" max="1" width="14" customWidth="1"/>
    <col min="2" max="2" width="46" customWidth="1"/>
    <col min="3" max="3" width="7" customWidth="1"/>
    <col min="4" max="4" width="16" customWidth="1"/>
    <col min="5" max="5" width="16" customWidth="1"/>
    <col min="6" max="6" width="16" customWidth="1"/>
    <col min="7" max="7" width="16" customWidth="1"/>
    <col min="8" max="8" width="32" customWidth="1"/>
    <col min="9" max="9" width="9" customWidth="1"/>
    <col min="10" max="10" width="20" customWidth="1"/>
    <col min="11" max="11" width="20" customWidth="1"/>
    <col min="12" max="12" width="20" customWidth="1"/>
  </cols>
  <sheetData>
    <row r="1" ht="22" customHeight="1">
      <c r="A1" s="1" t="inlineStr">
        <is>
          <t xml:space="preserve">Quote comparison — Example Pad 3 – Control Valve Package</t>
        </is>
      </c>
    </row>
    <row r="2">
      <c r="A2" s="2" t="inlineStr">
        <is>
          <t xml:space="preserve">Unit prices (USD) side by side · green = lowest price for the item · ties are marked and not counted · Spread = highest vs lowest · blank = not quoted</t>
        </is>
      </c>
    </row>
    <row r="4" ht="44" customHeight="1">
      <c r="A4" s="3" t="inlineStr">
        <is>
          <t xml:space="preserve">Item</t>
        </is>
      </c>
      <c r="B4" s="3" t="inlineStr">
        <is>
          <t xml:space="preserve">Description</t>
        </is>
      </c>
      <c r="C4" s="3" t="inlineStr">
        <is>
          <t xml:space="preserve">Qty</t>
        </is>
      </c>
      <c r="D4" s="3" t="inlineStr">
        <is>
          <t xml:space="preserve">Summit Valve Supply Q-1042</t>
        </is>
      </c>
      <c r="E4" s="3" t="inlineStr">
        <is>
          <t xml:space="preserve">Ridgeline Controls EST-5531</t>
        </is>
      </c>
      <c r="F4" s="3" t="inlineStr">
        <is>
          <t xml:space="preserve">Acme Valve Q-7781</t>
        </is>
      </c>
      <c r="G4" s="3" t="inlineStr">
        <is>
          <t xml:space="preserve">Lowest Unit (USD)</t>
        </is>
      </c>
      <c r="H4" s="3" t="inlineStr">
        <is>
          <t xml:space="preserve">Best Quote</t>
        </is>
      </c>
      <c r="I4" s="3" t="inlineStr">
        <is>
          <t xml:space="preserve">Spread</t>
        </is>
      </c>
      <c r="J4" s="3" t="inlineStr">
        <is>
          <t xml:space="preserve">Lead time · Summit Valve Supply Q-1042</t>
        </is>
      </c>
      <c r="K4" s="3" t="inlineStr">
        <is>
          <t xml:space="preserve">Lead time · Ridgeline Controls EST-5531</t>
        </is>
      </c>
      <c r="L4" s="3" t="inlineStr">
        <is>
          <t xml:space="preserve">Lead time · Acme Valve Q-7781</t>
        </is>
      </c>
    </row>
    <row r="5">
      <c r="A5" s="4" t="inlineStr">
        <is>
          <t xml:space="preserve">PCV-101</t>
        </is>
      </c>
      <c r="B5" s="5" t="inlineStr">
        <is>
          <t xml:space="preserve">PCV-101 3" CL150 RF SEGMENTED BALL VALVE, SPRING-RETURN ACTUATOR, POSITIONER</t>
        </is>
      </c>
      <c r="C5" s="6">
        <v>2</v>
      </c>
      <c r="D5" s="7">
        <v>4150</v>
      </c>
      <c r="E5" s="7">
        <v>3890</v>
      </c>
      <c r="F5" s="7">
        <v>3725</v>
      </c>
      <c r="G5" s="7">
        <f>MIN(D5:F5)</f>
        <v>3725</v>
      </c>
      <c r="H5" s="4" t="str">
        <f>INDEX($D$4:$F$4,MATCH(G5,D5:F5,0))&amp;IF(COUNTIF(D5:F5,G5)&gt;1," (tie)","")</f>
        <v>Acme Valve Q-7781</v>
      </c>
      <c r="I5" s="11">
        <f>IF(COUNT(D5:F5)&lt;2,"",MAX(D5:F5)/MIN(D5:F5)-1)</f>
        <v>0.11409395973154357</v>
      </c>
      <c r="J5" s="4" t="inlineStr">
        <is>
          <t xml:space="preserve">4-5 weeks ARO</t>
        </is>
      </c>
      <c r="K5" s="4" t="inlineStr">
        <is>
          <t xml:space="preserve">6-8 weeks ARO</t>
        </is>
      </c>
      <c r="L5" s="4" t="inlineStr">
        <is>
          <t xml:space="preserve">10 weeks</t>
        </is>
      </c>
    </row>
    <row r="6">
      <c r="A6" s="4" t="inlineStr">
        <is>
          <t xml:space="preserve">PCV-102</t>
        </is>
      </c>
      <c r="B6" s="5" t="inlineStr">
        <is>
          <t xml:space="preserve">PCV-102 4" CL150 RF SEGMENTED BALL VALVE, SPRING-RETURN ACTUATOR</t>
        </is>
      </c>
      <c r="C6" s="6">
        <v>1</v>
      </c>
      <c r="D6" s="7">
        <v>5275</v>
      </c>
      <c r="E6" s="7">
        <v>5410</v>
      </c>
      <c r="F6" s="7"/>
      <c r="G6" s="7">
        <f>MIN(D6:F6)</f>
        <v>5275</v>
      </c>
      <c r="H6" s="4" t="str">
        <f>INDEX($D$4:$F$4,MATCH(G6,D6:F6,0))&amp;IF(COUNTIF(D6:F6,G6)&gt;1," (tie)","")</f>
        <v>Summit Valve Supply Q-1042</v>
      </c>
      <c r="I6" s="11">
        <f>IF(COUNT(D6:F6)&lt;2,"",MAX(D6:F6)/MIN(D6:F6)-1)</f>
        <v>0.025592417061611306</v>
      </c>
      <c r="J6" s="4" t="inlineStr">
        <is>
          <t xml:space="preserve">4-5 weeks ARO</t>
        </is>
      </c>
      <c r="K6" s="4" t="inlineStr">
        <is>
          <t xml:space="preserve">6-8 weeks ARO</t>
        </is>
      </c>
      <c r="L6" s="4"/>
    </row>
    <row r="7">
      <c r="A7" s="4" t="inlineStr">
        <is>
          <t xml:space="preserve">XV-201</t>
        </is>
      </c>
      <c r="B7" s="5" t="inlineStr">
        <is>
          <t xml:space="preserve">XV-201 6" CL150 3-WAY BALL VALVE, RACK &amp; PINION SR ACTUATOR, LIMIT SWITCHES</t>
        </is>
      </c>
      <c r="C7" s="6">
        <v>1</v>
      </c>
      <c r="D7" s="7">
        <v>6420</v>
      </c>
      <c r="E7" s="7">
        <v>6420</v>
      </c>
      <c r="F7" s="7">
        <v>6100</v>
      </c>
      <c r="G7" s="7">
        <f>MIN(D7:F7)</f>
        <v>6100</v>
      </c>
      <c r="H7" s="4" t="str">
        <f>INDEX($D$4:$F$4,MATCH(G7,D7:F7,0))&amp;IF(COUNTIF(D7:F7,G7)&gt;1," (tie)","")</f>
        <v>Acme Valve Q-7781</v>
      </c>
      <c r="I7" s="11">
        <f>IF(COUNT(D7:F7)&lt;2,"",MAX(D7:F7)/MIN(D7:F7)-1)</f>
        <v>0.05245901639344264</v>
      </c>
      <c r="J7" s="4" t="inlineStr">
        <is>
          <t xml:space="preserve">3-4 weeks ARO</t>
        </is>
      </c>
      <c r="K7" s="4" t="inlineStr">
        <is>
          <t xml:space="preserve">2-3 weeks ARO</t>
        </is>
      </c>
      <c r="L7" s="4" t="inlineStr">
        <is>
          <t xml:space="preserve">10 weeks</t>
        </is>
      </c>
    </row>
    <row r="8">
      <c r="A8" s="4" t="inlineStr">
        <is>
          <t xml:space="preserve">SDV-301</t>
        </is>
      </c>
      <c r="B8" s="5" t="inlineStr">
        <is>
          <t xml:space="preserve">SDV-301 3" CL600 RF FP BALL VALVE, FAIL-CLOSED ACTUATOR, 24VDC SOV</t>
        </is>
      </c>
      <c r="C8" s="6">
        <v>1</v>
      </c>
      <c r="D8" s="7">
        <v>1347.5</v>
      </c>
      <c r="E8" s="7">
        <v>1280</v>
      </c>
      <c r="F8" s="7"/>
      <c r="G8" s="7">
        <f>MIN(D8:F8)</f>
        <v>1280</v>
      </c>
      <c r="H8" s="4" t="str">
        <f>INDEX($D$4:$F$4,MATCH(G8,D8:F8,0))&amp;IF(COUNTIF(D8:F8,G8)&gt;1," (tie)","")</f>
        <v>Ridgeline Controls EST-5531</v>
      </c>
      <c r="I8" s="11">
        <f>IF(COUNT(D8:F8)&lt;2,"",MAX(D8:F8)/MIN(D8:F8)-1)</f>
        <v>0.052734375</v>
      </c>
      <c r="J8" s="4" t="inlineStr">
        <is>
          <t xml:space="preserve">3-4 weeks ARO</t>
        </is>
      </c>
      <c r="K8" s="4" t="inlineStr">
        <is>
          <t xml:space="preserve">2-3 weeks ARO</t>
        </is>
      </c>
      <c r="L8" s="4"/>
    </row>
    <row r="9">
      <c r="A9" s="4" t="inlineStr">
        <is>
          <t xml:space="preserve">FREIGHT</t>
        </is>
      </c>
      <c r="B9" s="5" t="inlineStr">
        <is>
          <t xml:space="preserve">Freight to jobsite</t>
        </is>
      </c>
      <c r="C9" s="6">
        <v>1</v>
      </c>
      <c r="D9" s="7"/>
      <c r="E9" s="7"/>
      <c r="F9" s="7">
        <v>325</v>
      </c>
      <c r="G9" s="7">
        <f>MIN(D9:F9)</f>
        <v>325</v>
      </c>
      <c r="H9" s="4" t="str">
        <f>INDEX($D$4:$F$4,MATCH(G9,D9:F9,0))&amp;IF(COUNTIF(D9:F9,G9)&gt;1," (tie)","")</f>
        <v>Acme Valve Q-7781</v>
      </c>
      <c r="I9" s="11" t="str">
        <f>IF(COUNT(D9:F9)&lt;2,"",MAX(D9:F9)/MIN(D9:F9)-1)</f>
        <v/>
      </c>
      <c r="J9" s="4"/>
      <c r="K9" s="4"/>
      <c r="L9" s="4"/>
    </row>
    <row r="10" ht="18" customHeight="1">
      <c r="A10" s="8" t="inlineStr">
        <is>
          <t xml:space="preserve">Total at these quantities</t>
        </is>
      </c>
      <c r="B10" s="8"/>
      <c r="C10" s="8"/>
      <c r="D10" s="9">
        <f>SUMPRODUCT($C$5:$C$9,D5:D9)</f>
        <v>21342.5</v>
      </c>
      <c r="E10" s="9">
        <f>SUMPRODUCT($C$5:$C$9,E5:E9)</f>
        <v>20890</v>
      </c>
      <c r="F10" s="9">
        <f>SUMPRODUCT($C$5:$C$9,F5:F9)</f>
        <v>13875</v>
      </c>
      <c r="G10" s="9">
        <f>SUMPRODUCT($C$5:$C$9,G5:G9)</f>
        <v>20430</v>
      </c>
      <c r="H10" s="8" t="inlineStr">
        <is>
          <t xml:space="preserve">← best mix (lowest price on every item)</t>
        </is>
      </c>
      <c r="I10" s="8"/>
      <c r="J10" s="8"/>
      <c r="K10" s="8"/>
      <c r="L10" s="8"/>
    </row>
    <row r="11">
      <c r="A11" s="8" t="inlineStr">
        <is>
          <t xml:space="preserve">Items quoted</t>
        </is>
      </c>
      <c r="B11" s="8"/>
      <c r="C11" s="8"/>
      <c r="D11" s="10" t="str">
        <f>COUNT(D5:D9)&amp;" of 5"</f>
        <v>4 of 5</v>
      </c>
      <c r="E11" s="10" t="str">
        <f>COUNT(E5:E9)&amp;" of 5"</f>
        <v>4 of 5</v>
      </c>
      <c r="F11" s="10" t="str">
        <f>COUNT(F5:F9)&amp;" of 5"</f>
        <v>3 of 5</v>
      </c>
      <c r="G11" s="8"/>
      <c r="H11" s="8"/>
      <c r="I11" s="8"/>
      <c r="J11" s="8"/>
      <c r="K11" s="8"/>
      <c r="L11" s="8"/>
    </row>
    <row r="12">
      <c r="A12" s="8" t="inlineStr">
        <is>
          <t xml:space="preserve">Lowest price on</t>
        </is>
      </c>
      <c r="B12" s="8"/>
      <c r="C12" s="8"/>
      <c r="D12" s="10" t="str">
        <f>COUNTIF($H$5:$H$9,D$4)&amp;" item(s)"</f>
        <v>1 item(s)</v>
      </c>
      <c r="E12" s="10" t="str">
        <f>COUNTIF($H$5:$H$9,E$4)&amp;" item(s)"</f>
        <v>1 item(s)</v>
      </c>
      <c r="F12" s="10" t="str">
        <f>COUNTIF($H$5:$H$9,F$4)&amp;" item(s)"</f>
        <v>3 item(s)</v>
      </c>
      <c r="G12" s="8"/>
      <c r="H12" s="8"/>
      <c r="I12" s="8"/>
      <c r="J12" s="8"/>
      <c r="K12" s="8"/>
      <c r="L12" s="8"/>
    </row>
  </sheetData>
  <mergeCells count="2">
    <mergeCell ref="A1:L1"/>
    <mergeCell ref="A2:L2"/>
  </mergeCells>
  <conditionalFormatting sqref="D5:F9">
    <cfRule type="expression" dxfId="1" priority="1">
      <formula>AND(ISNUMBER(D5),D5=MIN($D5:$F5))</formula>
    </cfRule>
  </conditionalFormatting>
  <pageMargins left="0.5" right="0.5" top="0.75" bottom="0.75" header="0.3" footer="0.3"/>
  <pageSetup orientation="landscape" fitToWidth="1" fitToHeight="0"/>
</worksheet>
</file>

<file path=xl/worksheets/sheet3.xml><?xml version="1.0" encoding="utf-8"?>
<worksheet xmlns="http://schemas.openxmlformats.org/spreadsheetml/2006/main" xmlns:r="http://schemas.openxmlformats.org/officeDocument/2006/relationships">
  <sheetPr>
    <pageSetUpPr fitToPage="1"/>
  </sheetPr>
  <sheetViews>
    <sheetView workbookViewId="0">
      <pane ySplit="4" topLeftCell="A5" activePane="bottomLeft" state="frozen"/>
    </sheetView>
  </sheetViews>
  <sheetFormatPr defaultRowHeight="15"/>
  <cols>
    <col min="1" max="1" width="14" customWidth="1"/>
    <col min="2" max="2" width="7" customWidth="1"/>
    <col min="3" max="3" width="70" customWidth="1"/>
    <col min="4" max="4" width="16" customWidth="1"/>
    <col min="5" max="5" width="16" customWidth="1"/>
    <col min="6" max="6" width="18" customWidth="1"/>
  </cols>
  <sheetData>
    <row r="1" ht="22" customHeight="1">
      <c r="A1" s="1" t="inlineStr">
        <is>
          <t xml:space="preserve">Summit Valve Supply — Q-1042</t>
        </is>
      </c>
    </row>
    <row r="2">
      <c r="A2" s="2" t="inlineStr">
        <is>
          <t xml:space="preserve">Quote date: 10/14/2026   ·   Source: SVS-Q1042.pdf</t>
        </is>
      </c>
    </row>
    <row r="4" ht="20" customHeight="1">
      <c r="A4" s="3" t="inlineStr">
        <is>
          <t xml:space="preserve">Tag</t>
        </is>
      </c>
      <c r="B4" s="3" t="inlineStr">
        <is>
          <t xml:space="preserve">Qty</t>
        </is>
      </c>
      <c r="C4" s="3" t="inlineStr">
        <is>
          <t xml:space="preserve">Description</t>
        </is>
      </c>
      <c r="D4" s="3" t="inlineStr">
        <is>
          <t xml:space="preserve">Unit Price (USD)</t>
        </is>
      </c>
      <c r="E4" s="3" t="inlineStr">
        <is>
          <t xml:space="preserve">Extended (USD)</t>
        </is>
      </c>
      <c r="F4" s="3" t="inlineStr">
        <is>
          <t xml:space="preserve">Lead Time</t>
        </is>
      </c>
    </row>
    <row r="5">
      <c r="A5" s="4" t="inlineStr">
        <is>
          <t xml:space="preserve">PCV-101</t>
        </is>
      </c>
      <c r="B5" s="6">
        <v>2</v>
      </c>
      <c r="C5" s="5" t="inlineStr">
        <is>
          <t xml:space="preserve">PCV-101 3" CL150 RF SEGMENTED BALL VALVE, SPRING-RETURN ACTUATOR, POSITIONER</t>
        </is>
      </c>
      <c r="D5" s="7">
        <v>4150</v>
      </c>
      <c r="E5" s="7">
        <f>B5*D5</f>
        <v>8300</v>
      </c>
      <c r="F5" s="4" t="inlineStr">
        <is>
          <t xml:space="preserve">4-5 weeks ARO</t>
        </is>
      </c>
    </row>
    <row r="6">
      <c r="A6" s="4" t="inlineStr">
        <is>
          <t xml:space="preserve">PCV-102</t>
        </is>
      </c>
      <c r="B6" s="6">
        <v>1</v>
      </c>
      <c r="C6" s="5" t="inlineStr">
        <is>
          <t xml:space="preserve">PCV-102 4" CL150 RF SEGMENTED BALL VALVE, SPRING-RETURN ACTUATOR</t>
        </is>
      </c>
      <c r="D6" s="7">
        <v>5275</v>
      </c>
      <c r="E6" s="7">
        <f>B6*D6</f>
        <v>5275</v>
      </c>
      <c r="F6" s="4" t="inlineStr">
        <is>
          <t xml:space="preserve">4-5 weeks ARO</t>
        </is>
      </c>
    </row>
    <row r="7">
      <c r="A7" s="4" t="inlineStr">
        <is>
          <t xml:space="preserve">XV-201</t>
        </is>
      </c>
      <c r="B7" s="6">
        <v>1</v>
      </c>
      <c r="C7" s="5" t="inlineStr">
        <is>
          <t xml:space="preserve">XV-201 6" CL150 3-WAY BALL VALVE, RACK &amp; PINION SR ACTUATOR, LIMIT SWITCHES</t>
        </is>
      </c>
      <c r="D7" s="7">
        <v>6420</v>
      </c>
      <c r="E7" s="7">
        <f>B7*D7</f>
        <v>6420</v>
      </c>
      <c r="F7" s="4" t="inlineStr">
        <is>
          <t xml:space="preserve">3-4 weeks ARO</t>
        </is>
      </c>
    </row>
    <row r="8">
      <c r="A8" s="4" t="inlineStr">
        <is>
          <t xml:space="preserve">SDV-301</t>
        </is>
      </c>
      <c r="B8" s="6">
        <v>1</v>
      </c>
      <c r="C8" s="5" t="inlineStr">
        <is>
          <t xml:space="preserve">SDV-301 3" CL600 RF FP BALL VALVE, FAIL-CLOSED ACTUATOR, 24VDC SOV</t>
        </is>
      </c>
      <c r="D8" s="7">
        <v>1347.5</v>
      </c>
      <c r="E8" s="7">
        <f>B8*D8</f>
        <v>1347.5</v>
      </c>
      <c r="F8" s="4" t="inlineStr">
        <is>
          <t xml:space="preserve">3-4 weeks ARO</t>
        </is>
      </c>
    </row>
    <row r="9" ht="18" customHeight="1">
      <c r="A9" s="8" t="inlineStr">
        <is>
          <t xml:space="preserve">Total</t>
        </is>
      </c>
      <c r="B9" s="8"/>
      <c r="C9" s="8"/>
      <c r="D9" s="8"/>
      <c r="E9" s="9">
        <f>SUM(E5:E8)</f>
        <v>21342.5</v>
      </c>
      <c r="F9" s="8"/>
    </row>
    <row r="11">
      <c r="A11" s="2" t="inlineStr">
        <is>
          <t xml:space="preserve">Not quoted: PCV-103 – need line size and Cv to quote</t>
        </is>
      </c>
    </row>
    <row r="12">
      <c r="A12" s="2" t="inlineStr">
        <is>
          <t xml:space="preserve">Notes: Freight billed at cost.</t>
        </is>
      </c>
    </row>
  </sheetData>
  <autoFilter ref="A4:F8"/>
  <mergeCells count="2">
    <mergeCell ref="A1:F1"/>
    <mergeCell ref="A2:F2"/>
  </mergeCells>
  <pageMargins left="0.5" right="0.5" top="0.75" bottom="0.75" header="0.3" footer="0.3"/>
  <pageSetup orientation="landscape" fitToWidth="1" fitToHeight="0"/>
</worksheet>
</file>

<file path=xl/worksheets/sheet4.xml><?xml version="1.0" encoding="utf-8"?>
<worksheet xmlns="http://schemas.openxmlformats.org/spreadsheetml/2006/main" xmlns:r="http://schemas.openxmlformats.org/officeDocument/2006/relationships">
  <sheetPr>
    <pageSetUpPr fitToPage="1"/>
  </sheetPr>
  <sheetViews>
    <sheetView workbookViewId="0">
      <pane ySplit="4" topLeftCell="A5" activePane="bottomLeft" state="frozen"/>
    </sheetView>
  </sheetViews>
  <sheetFormatPr defaultRowHeight="15"/>
  <cols>
    <col min="1" max="1" width="14" customWidth="1"/>
    <col min="2" max="2" width="7" customWidth="1"/>
    <col min="3" max="3" width="70" customWidth="1"/>
    <col min="4" max="4" width="16" customWidth="1"/>
    <col min="5" max="5" width="16" customWidth="1"/>
    <col min="6" max="6" width="18" customWidth="1"/>
  </cols>
  <sheetData>
    <row r="1" ht="22" customHeight="1">
      <c r="A1" s="1" t="inlineStr">
        <is>
          <t xml:space="preserve">Ridgeline Controls — EST-5531</t>
        </is>
      </c>
    </row>
    <row r="2">
      <c r="A2" s="2" t="inlineStr">
        <is>
          <t xml:space="preserve">Quote date: 10/15/2026   ·   Source: RC-EST5531.pdf</t>
        </is>
      </c>
    </row>
    <row r="4" ht="20" customHeight="1">
      <c r="A4" s="3" t="inlineStr">
        <is>
          <t xml:space="preserve">Tag</t>
        </is>
      </c>
      <c r="B4" s="3" t="inlineStr">
        <is>
          <t xml:space="preserve">Qty</t>
        </is>
      </c>
      <c r="C4" s="3" t="inlineStr">
        <is>
          <t xml:space="preserve">Description</t>
        </is>
      </c>
      <c r="D4" s="3" t="inlineStr">
        <is>
          <t xml:space="preserve">Unit Price (USD)</t>
        </is>
      </c>
      <c r="E4" s="3" t="inlineStr">
        <is>
          <t xml:space="preserve">Extended (USD)</t>
        </is>
      </c>
      <c r="F4" s="3" t="inlineStr">
        <is>
          <t xml:space="preserve">Lead Time</t>
        </is>
      </c>
    </row>
    <row r="5">
      <c r="A5" s="4" t="inlineStr">
        <is>
          <t xml:space="preserve">PCV-101</t>
        </is>
      </c>
      <c r="B5" s="6">
        <v>2</v>
      </c>
      <c r="C5" s="5" t="inlineStr">
        <is>
          <t xml:space="preserve">PCV-101 3" CL150 V-PORT BALL, PISTON ACTUATOR, SMART POSITIONER</t>
        </is>
      </c>
      <c r="D5" s="7">
        <v>3890</v>
      </c>
      <c r="E5" s="7">
        <f>B5*D5</f>
        <v>7780</v>
      </c>
      <c r="F5" s="4" t="inlineStr">
        <is>
          <t xml:space="preserve">6-8 weeks ARO</t>
        </is>
      </c>
    </row>
    <row r="6">
      <c r="A6" s="4" t="inlineStr">
        <is>
          <t xml:space="preserve">PCV-102</t>
        </is>
      </c>
      <c r="B6" s="6">
        <v>1</v>
      </c>
      <c r="C6" s="5" t="inlineStr">
        <is>
          <t xml:space="preserve">PCV-102 4" CL150 V-PORT BALL, PISTON ACTUATOR, SMART POSITIONER</t>
        </is>
      </c>
      <c r="D6" s="7">
        <v>5410</v>
      </c>
      <c r="E6" s="7">
        <f>B6*D6</f>
        <v>5410</v>
      </c>
      <c r="F6" s="4" t="inlineStr">
        <is>
          <t xml:space="preserve">6-8 weeks ARO</t>
        </is>
      </c>
    </row>
    <row r="7">
      <c r="A7" s="4" t="inlineStr">
        <is>
          <t xml:space="preserve">XV-201</t>
        </is>
      </c>
      <c r="B7" s="6">
        <v>1</v>
      </c>
      <c r="C7" s="5" t="inlineStr">
        <is>
          <t xml:space="preserve">XV-201 6" CL150 3-WAY, SR ACTUATOR, LIMITS, SOLENOID</t>
        </is>
      </c>
      <c r="D7" s="7">
        <v>6420</v>
      </c>
      <c r="E7" s="7">
        <f>B7*D7</f>
        <v>6420</v>
      </c>
      <c r="F7" s="4" t="inlineStr">
        <is>
          <t xml:space="preserve">2-3 weeks ARO</t>
        </is>
      </c>
    </row>
    <row r="8">
      <c r="A8" s="4" t="inlineStr">
        <is>
          <t xml:space="preserve">SDV-301</t>
        </is>
      </c>
      <c r="B8" s="6">
        <v>1</v>
      </c>
      <c r="C8" s="5" t="inlineStr">
        <is>
          <t xml:space="preserve">SDV-301 3" CL600 FP NACE BALL VALVE, FC ACTUATOR</t>
        </is>
      </c>
      <c r="D8" s="7">
        <v>1280</v>
      </c>
      <c r="E8" s="7">
        <f>B8*D8</f>
        <v>1280</v>
      </c>
      <c r="F8" s="4" t="inlineStr">
        <is>
          <t xml:space="preserve">2-3 weeks ARO</t>
        </is>
      </c>
    </row>
    <row r="9" ht="18" customHeight="1">
      <c r="A9" s="8" t="inlineStr">
        <is>
          <t xml:space="preserve">Total</t>
        </is>
      </c>
      <c r="B9" s="8"/>
      <c r="C9" s="8"/>
      <c r="D9" s="8"/>
      <c r="E9" s="9">
        <f>SUM(E5:E8)</f>
        <v>20890</v>
      </c>
      <c r="F9" s="8"/>
    </row>
  </sheetData>
  <autoFilter ref="A4:F8"/>
  <mergeCells count="2">
    <mergeCell ref="A1:F1"/>
    <mergeCell ref="A2:F2"/>
  </mergeCells>
  <pageMargins left="0.5" right="0.5" top="0.75" bottom="0.75" header="0.3" footer="0.3"/>
  <pageSetup orientation="landscape" fitToWidth="1" fitToHeight="0"/>
</worksheet>
</file>

<file path=xl/worksheets/sheet5.xml><?xml version="1.0" encoding="utf-8"?>
<worksheet xmlns="http://schemas.openxmlformats.org/spreadsheetml/2006/main" xmlns:r="http://schemas.openxmlformats.org/officeDocument/2006/relationships">
  <sheetPr>
    <pageSetUpPr fitToPage="1"/>
  </sheetPr>
  <sheetViews>
    <sheetView workbookViewId="0">
      <pane ySplit="4" topLeftCell="A5" activePane="bottomLeft" state="frozen"/>
    </sheetView>
  </sheetViews>
  <sheetFormatPr defaultRowHeight="15"/>
  <cols>
    <col min="1" max="1" width="14" customWidth="1"/>
    <col min="2" max="2" width="7" customWidth="1"/>
    <col min="3" max="3" width="70" customWidth="1"/>
    <col min="4" max="4" width="16" customWidth="1"/>
    <col min="5" max="5" width="16" customWidth="1"/>
    <col min="6" max="6" width="18" customWidth="1"/>
  </cols>
  <sheetData>
    <row r="1" ht="22" customHeight="1">
      <c r="A1" s="1" t="inlineStr">
        <is>
          <t xml:space="preserve">Acme Valve — Q-7781</t>
        </is>
      </c>
    </row>
    <row r="2">
      <c r="A2" s="2" t="inlineStr">
        <is>
          <t xml:space="preserve">Quote date: 10/15/2026   ·   Source: AV-7781.pdf</t>
        </is>
      </c>
    </row>
    <row r="4" ht="20" customHeight="1">
      <c r="A4" s="3" t="inlineStr">
        <is>
          <t xml:space="preserve">Tag</t>
        </is>
      </c>
      <c r="B4" s="3" t="inlineStr">
        <is>
          <t xml:space="preserve">Qty</t>
        </is>
      </c>
      <c r="C4" s="3" t="inlineStr">
        <is>
          <t xml:space="preserve">Description</t>
        </is>
      </c>
      <c r="D4" s="3" t="inlineStr">
        <is>
          <t xml:space="preserve">Unit Price (USD)</t>
        </is>
      </c>
      <c r="E4" s="3" t="inlineStr">
        <is>
          <t xml:space="preserve">Extended (USD)</t>
        </is>
      </c>
      <c r="F4" s="3" t="inlineStr">
        <is>
          <t xml:space="preserve">Lead Time</t>
        </is>
      </c>
    </row>
    <row r="5">
      <c r="A5" s="4" t="inlineStr">
        <is>
          <t xml:space="preserve">PCV-101</t>
        </is>
      </c>
      <c r="B5" s="6">
        <v>2</v>
      </c>
      <c r="C5" s="5" t="inlineStr">
        <is>
          <t xml:space="preserve">PCV-101 3" SEGMENTED BALL CONTROL VALVE PACKAGE</t>
        </is>
      </c>
      <c r="D5" s="7">
        <v>3725</v>
      </c>
      <c r="E5" s="7">
        <f>B5*D5</f>
        <v>7450</v>
      </c>
      <c r="F5" s="4" t="inlineStr">
        <is>
          <t xml:space="preserve">10 weeks</t>
        </is>
      </c>
    </row>
    <row r="6">
      <c r="A6" s="4" t="inlineStr">
        <is>
          <t xml:space="preserve">XV-201</t>
        </is>
      </c>
      <c r="B6" s="6">
        <v>1</v>
      </c>
      <c r="C6" s="5" t="inlineStr">
        <is>
          <t xml:space="preserve">XV-201 6" 3-WAY AUTOMATED BALL VALVE</t>
        </is>
      </c>
      <c r="D6" s="7">
        <v>6100</v>
      </c>
      <c r="E6" s="7">
        <f>B6*D6</f>
        <v>6100</v>
      </c>
      <c r="F6" s="4" t="inlineStr">
        <is>
          <t xml:space="preserve">10 weeks</t>
        </is>
      </c>
    </row>
    <row r="7">
      <c r="A7" s="4" t="inlineStr">
        <is>
          <t xml:space="preserve">FREIGHT</t>
        </is>
      </c>
      <c r="B7" s="6">
        <v>1</v>
      </c>
      <c r="C7" s="5" t="inlineStr">
        <is>
          <t xml:space="preserve">Freight to jobsite</t>
        </is>
      </c>
      <c r="D7" s="7">
        <v>325</v>
      </c>
      <c r="E7" s="7">
        <f>B7*D7</f>
        <v>325</v>
      </c>
      <c r="F7" s="4"/>
    </row>
    <row r="8" ht="18" customHeight="1">
      <c r="A8" s="8" t="inlineStr">
        <is>
          <t xml:space="preserve">Total</t>
        </is>
      </c>
      <c r="B8" s="8"/>
      <c r="C8" s="8"/>
      <c r="D8" s="8"/>
      <c r="E8" s="9">
        <f>SUM(E5:E7)</f>
        <v>13875</v>
      </c>
      <c r="F8" s="8"/>
    </row>
  </sheetData>
  <autoFilter ref="A4:F7"/>
  <mergeCells count="2">
    <mergeCell ref="A1:F1"/>
    <mergeCell ref="A2:F2"/>
  </mergeCells>
  <pageMargins left="0.5" right="0.5" top="0.75" bottom="0.75" header="0.3" footer="0.3"/>
  <pageSetup orientation="landscape" fitToWidth="1" fitToHeight="0"/>
</worksheet>
</file>